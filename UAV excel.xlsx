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FD10918D-ADA8-49CE-B8EE-158AAC660CB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oglio1" sheetId="1" r:id="rId1"/>
    <sheet name="Design inpu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<sst xmlns="http://schemas.openxmlformats.org/spreadsheetml/2006/main" count="64" uniqueCount="56">
  <si>
    <t>Configuration</t>
  </si>
  <si>
    <t>Mass_kg</t>
  </si>
  <si>
    <t>Mission_Energy_Wh</t>
  </si>
  <si>
    <t xml:space="preserve">Energy_Saving_percent </t>
  </si>
  <si>
    <t xml:space="preserve">Final Mass </t>
  </si>
  <si>
    <t xml:space="preserve">Final mission energy </t>
  </si>
  <si>
    <t xml:space="preserve">Total Energy Saving </t>
  </si>
  <si>
    <t>Original UAV</t>
  </si>
  <si>
    <t>7,8 kg</t>
  </si>
  <si>
    <t>283,53 Wh</t>
  </si>
  <si>
    <t>Battery Optimized</t>
  </si>
  <si>
    <t>Battery + CFRP Optimized</t>
  </si>
  <si>
    <t xml:space="preserve">Parameter </t>
  </si>
  <si>
    <t xml:space="preserve">Symbol </t>
  </si>
  <si>
    <t xml:space="preserve">Value </t>
  </si>
  <si>
    <t xml:space="preserve">Unit </t>
  </si>
  <si>
    <t>Initial UAV mass</t>
  </si>
  <si>
    <t>m</t>
  </si>
  <si>
    <t>kg</t>
  </si>
  <si>
    <t>Wingspan</t>
  </si>
  <si>
    <t>b</t>
  </si>
  <si>
    <t>Wing area</t>
  </si>
  <si>
    <t>S</t>
  </si>
  <si>
    <r>
      <rPr>
        <sz val="11"/>
        <color rgb="FF000000"/>
        <rFont val="Calibri"/>
        <scheme val="minor"/>
      </rPr>
      <t>m</t>
    </r>
    <r>
      <rPr>
        <vertAlign val="superscript"/>
        <sz val="11"/>
        <color rgb="FF000000"/>
        <rFont val="Calibri"/>
        <scheme val="minor"/>
      </rPr>
      <t>2</t>
    </r>
  </si>
  <si>
    <t xml:space="preserve">Cruise speed </t>
  </si>
  <si>
    <t>V</t>
  </si>
  <si>
    <t>m/s</t>
  </si>
  <si>
    <t xml:space="preserve">Air density </t>
  </si>
  <si>
    <t>rho</t>
  </si>
  <si>
    <r>
      <rPr>
        <sz val="11"/>
        <color rgb="FF000000"/>
        <rFont val="Calibri"/>
        <scheme val="minor"/>
      </rPr>
      <t>kg/m</t>
    </r>
    <r>
      <rPr>
        <vertAlign val="superscript"/>
        <sz val="11"/>
        <color rgb="FF000000"/>
        <rFont val="Calibri"/>
        <scheme val="minor"/>
      </rPr>
      <t>3</t>
    </r>
  </si>
  <si>
    <t xml:space="preserve">Zero-Lift drag coefficent </t>
  </si>
  <si>
    <t>CD0</t>
  </si>
  <si>
    <t>-</t>
  </si>
  <si>
    <t xml:space="preserve">Oswald efficiency </t>
  </si>
  <si>
    <t>e</t>
  </si>
  <si>
    <t>Inverter efficiency</t>
  </si>
  <si>
    <t>eta_inv</t>
  </si>
  <si>
    <t>Motor efficiency</t>
  </si>
  <si>
    <t>eta_motor</t>
  </si>
  <si>
    <t>Propeller efficiency</t>
  </si>
  <si>
    <t>eta_prop</t>
  </si>
  <si>
    <t>Initial battery capacity</t>
  </si>
  <si>
    <t>E_bat</t>
  </si>
  <si>
    <t>kWh</t>
  </si>
  <si>
    <t>Maximum DoD</t>
  </si>
  <si>
    <t>DoD</t>
  </si>
  <si>
    <t>Safety factor</t>
  </si>
  <si>
    <t>SF</t>
  </si>
  <si>
    <t>Battery voltage</t>
  </si>
  <si>
    <t>V_bat</t>
  </si>
  <si>
    <t>Battery internal resistance</t>
  </si>
  <si>
    <t>R_int</t>
  </si>
  <si>
    <t>ohm</t>
  </si>
  <si>
    <t>Ambient temperature</t>
  </si>
  <si>
    <t>T_amb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</si>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</sst>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vertAlign val="superscript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2" fillId="2" borderId="2" xfId="0" applyFont="1" applyFill="1" applyBorder="1"/>
    <xf numFmtId="10" fontId="1" fillId="0" borderId="2" xfId="0" applyNumberFormat="1" applyFont="1" applyBorder="1"/>
    <xf numFmtId="0" fontId="3" fillId="0" borderId="0" xfId="0" applyFont="1"/>
    <xf numFmtId="0" fontId="0" fillId="0" borderId="0" xfId="0" applyAlignment="1">
      <alignment readingOrder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mission energy comparision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Foglio1!$C$1</c:f>
              <c:strCache>
                <c:ptCount val="1"/>
                <c:pt idx="0">
                  <c:v>Mission_Energy_Wh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Foglio1!$A$2:$A$4</c:f>
              <c:strCache>
                <c:ptCount val="3"/>
                <c:pt idx="0">
                  <c:v>Original UAV</c:v>
                </c:pt>
                <c:pt idx="1">
                  <c:v>Battery Optimized</c:v>
                </c:pt>
                <c:pt idx="2">
                  <c:v>Battery + CFRP Optimized</c:v>
                </c:pt>
              </c:strCache>
            </c:strRef>
          </c:cat>
          <c:val>
            <c:numRef>
              <c:f>Foglio1!$C$2:$C$4</c:f>
              <c:numCache>
                <c:formatCode>General</c:formatCode>
                <c:ptCount val="3"/>
                <c:pt idx="0">
                  <c:v>334.46</c:v>
                </c:pt>
                <c:pt idx="1">
                  <c:v>293.5</c:v>
                </c:pt>
                <c:pt idx="2">
                  <c:v>286.52999999999997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B-45B0-B588-D3CDBE64B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690312"/>
        <c:axId val="310692360"/>
      </c:barChart>
      <c:catAx>
        <c:axId val="310690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UAV 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692360"/>
        <c:crosses val="autoZero"/>
        <c:auto val="1"/>
        <c:lblAlgn val="ctr"/>
        <c:lblOffset val="100"/>
        <c:noMultiLvlLbl val="0"/>
      </c:catAx>
      <c:valAx>
        <c:axId val="31069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Mission Energy [Wh]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69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UAV Mass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Mass_kg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Foglio1!$A$2:$A$4</c:f>
              <c:strCache>
                <c:ptCount val="3"/>
                <c:pt idx="0">
                  <c:v>Original UAV</c:v>
                </c:pt>
                <c:pt idx="1">
                  <c:v>Battery Optimized</c:v>
                </c:pt>
                <c:pt idx="2">
                  <c:v>Battery + CFRP Optimized</c:v>
                </c:pt>
              </c:strCache>
            </c:strRef>
          </c:cat>
          <c:val>
            <c:numRef>
              <c:f>Foglio1!$B$2:$B$4</c:f>
              <c:numCache>
                <c:formatCode>General</c:formatCode>
                <c:ptCount val="3"/>
                <c:pt idx="0">
                  <c:v>12</c:v>
                </c:pt>
                <c:pt idx="1">
                  <c:v>8.51</c:v>
                </c:pt>
                <c:pt idx="2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6-4E26-B7D0-6F38A10E4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167751"/>
        <c:axId val="1651159047"/>
      </c:barChart>
      <c:catAx>
        <c:axId val="1651167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UAV 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59047"/>
        <c:crosses val="autoZero"/>
        <c:auto val="1"/>
        <c:lblAlgn val="ctr"/>
        <c:lblOffset val="100"/>
        <c:noMultiLvlLbl val="0"/>
      </c:catAx>
      <c:valAx>
        <c:axId val="1651159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67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Saving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Foglio1!$D$1</c:f>
              <c:strCache>
                <c:ptCount val="1"/>
                <c:pt idx="0">
                  <c:v>Energy_Saving_percent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Foglio1!$A$2:$A$4</c:f>
              <c:strCache>
                <c:ptCount val="3"/>
                <c:pt idx="0">
                  <c:v>Original UAV</c:v>
                </c:pt>
                <c:pt idx="1">
                  <c:v>Battery Optimized</c:v>
                </c:pt>
                <c:pt idx="2">
                  <c:v>Battery + CFRP Optimized</c:v>
                </c:pt>
              </c:strCache>
            </c:strRef>
          </c:cat>
          <c:val>
            <c:numRef>
              <c:f>Foglio1!$D$2:$D$4</c:f>
              <c:numCache>
                <c:formatCode>General</c:formatCode>
                <c:ptCount val="3"/>
                <c:pt idx="0">
                  <c:v>0</c:v>
                </c:pt>
                <c:pt idx="1">
                  <c:v>12.25</c:v>
                </c:pt>
                <c:pt idx="2">
                  <c:v>14.33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F-4906-A540-B32E15D0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912392"/>
        <c:axId val="1666545159"/>
      </c:barChart>
      <c:catAx>
        <c:axId val="181691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UAV Configuration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545159"/>
        <c:crosses val="autoZero"/>
        <c:auto val="1"/>
        <c:lblAlgn val="ctr"/>
        <c:lblOffset val="100"/>
        <c:noMultiLvlLbl val="0"/>
      </c:catAx>
      <c:valAx>
        <c:axId val="1666545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saving[%]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12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17</xdr:row>
      <xdr:rowOff>66675</xdr:rowOff>
    </xdr:from>
    <xdr:to>
      <xdr:col>3</xdr:col>
      <xdr:colOff>1190625</xdr:colOff>
      <xdr:row>31</xdr:row>
      <xdr:rowOff>142875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54A31B4-2F6F-F774-0E88-7BF5109C0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17</xdr:row>
      <xdr:rowOff>104775</xdr:rowOff>
    </xdr:from>
    <xdr:to>
      <xdr:col>11</xdr:col>
      <xdr:colOff>342900</xdr:colOff>
      <xdr:row>31</xdr:row>
      <xdr:rowOff>180975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7143C5F-4550-0809-C258-203FDF5F050F}"/>
            </a:ext>
            <a:ext uri="{147F2762-F138-4A5C-976F-8EAC2B608ADB}">
              <a16:predDERef xmlns:a16="http://schemas.microsoft.com/office/drawing/2014/main" pred="{B54A31B4-2F6F-F774-0E88-7BF5109C0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</xdr:colOff>
      <xdr:row>17</xdr:row>
      <xdr:rowOff>114300</xdr:rowOff>
    </xdr:from>
    <xdr:to>
      <xdr:col>19</xdr:col>
      <xdr:colOff>323850</xdr:colOff>
      <xdr:row>32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ED1FF860-DC91-1730-2DFC-2AF977A9C4E4}"/>
            </a:ext>
            <a:ext uri="{147F2762-F138-4A5C-976F-8EAC2B608ADB}">
              <a16:predDERef xmlns:a16="http://schemas.microsoft.com/office/drawing/2014/main" pred="{A7143C5F-4550-0809-C258-203FDF5F0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2BDC6-3453-4BCA-BC24-F6047264A3BA}" name="Tabella1" displayName="Tabella1" ref="A1:D4" totalsRowShown="0">
  <autoFilter ref="A1:D4" xr:uid="{4652BDC6-3453-4BCA-BC24-F6047264A3BA}"/>
  <tableColumns count="4">
    <tableColumn id="1" xr3:uid="{F454EFEE-B078-4B39-BB04-8D6ED5BFA920}" name="Configuration"/>
    <tableColumn id="2" xr3:uid="{34746282-12BB-4C78-A67A-00627C56641D}" name="Mass_kg"/>
    <tableColumn id="3" xr3:uid="{0ACFBEE5-84D1-436D-A6A7-4C82E9FB7F98}" name="Mission_Energy_Wh"/>
    <tableColumn id="4" xr3:uid="{9AC0406D-817D-44E2-92DF-EE9E52CA598D}" name="Energy_Saving_percent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77FF5E-9CEA-451A-80B0-2E463B4AF72E}" name="Tabella2" displayName="Tabella2" ref="A1:D17" totalsRowShown="0">
  <autoFilter ref="A1:D17" xr:uid="{B977FF5E-9CEA-451A-80B0-2E463B4AF72E}"/>
  <tableColumns count="4">
    <tableColumn id="1" xr3:uid="{D0505896-E2BE-422F-AA31-0DDA06C04F5D}" name="Parameter "/>
    <tableColumn id="2" xr3:uid="{D992C215-C8B4-4C09-9441-E3E9F58A2E09}" name="Symbol "/>
    <tableColumn id="3" xr3:uid="{A318B270-2F49-4470-A4A4-167C95A5E554}" name="Value "/>
    <tableColumn id="4" xr3:uid="{4AFEF340-2B5A-4D5F-971D-7DEB79519652}" name="Uni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K2" sqref="K2"/>
    </sheetView>
  </sheetViews>
  <sheetFormatPr defaultRowHeight="15"/>
  <cols>
    <col min="1" max="1" width="24.140625" customWidth="1"/>
    <col min="2" max="2" width="11.140625" bestFit="1" customWidth="1"/>
    <col min="3" max="3" width="22" bestFit="1" customWidth="1"/>
    <col min="4" max="4" width="24.7109375" bestFit="1" customWidth="1"/>
    <col min="6" max="6" width="10.85546875" customWidth="1"/>
    <col min="10" max="10" width="19.28515625" customWidth="1"/>
    <col min="14" max="14" width="25.8554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F1" s="1" t="s">
        <v>4</v>
      </c>
      <c r="J1" s="2" t="s">
        <v>5</v>
      </c>
      <c r="N1" s="2" t="s">
        <v>6</v>
      </c>
    </row>
    <row r="2" spans="1:14">
      <c r="A2" t="s">
        <v>7</v>
      </c>
      <c r="B2">
        <v>12</v>
      </c>
      <c r="C2">
        <v>334.46</v>
      </c>
      <c r="D2">
        <v>0</v>
      </c>
      <c r="F2" s="4" t="s">
        <v>8</v>
      </c>
      <c r="J2" s="3" t="s">
        <v>9</v>
      </c>
      <c r="N2" s="5">
        <v>0.14330000000000001</v>
      </c>
    </row>
    <row r="3" spans="1:14">
      <c r="A3" t="s">
        <v>10</v>
      </c>
      <c r="B3">
        <v>8.51</v>
      </c>
      <c r="C3">
        <v>293.5</v>
      </c>
      <c r="D3">
        <v>12.25</v>
      </c>
    </row>
    <row r="4" spans="1:14">
      <c r="A4" t="s">
        <v>11</v>
      </c>
      <c r="B4">
        <v>7.8</v>
      </c>
      <c r="C4">
        <v>286.52999999999997</v>
      </c>
      <c r="D4">
        <v>14.33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1B4B-FEF0-4D50-8978-2C903585BCAC}">
  <dimension ref="A1:D17"/>
  <sheetViews>
    <sheetView tabSelected="1" workbookViewId="0">
      <selection activeCell="E7" sqref="E7"/>
    </sheetView>
  </sheetViews>
  <sheetFormatPr defaultRowHeight="15"/>
  <cols>
    <col min="1" max="1" width="24.5703125" bestFit="1" customWidth="1"/>
    <col min="2" max="2" width="10.7109375" customWidth="1"/>
  </cols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 t="s">
        <v>16</v>
      </c>
      <c r="B2" t="s">
        <v>17</v>
      </c>
      <c r="C2">
        <v>12</v>
      </c>
      <c r="D2" t="s">
        <v>18</v>
      </c>
    </row>
    <row r="3" spans="1:4">
      <c r="A3" t="s">
        <v>19</v>
      </c>
      <c r="B3" t="s">
        <v>20</v>
      </c>
      <c r="C3">
        <v>3</v>
      </c>
      <c r="D3" t="s">
        <v>17</v>
      </c>
    </row>
    <row r="4" spans="1:4">
      <c r="A4" t="s">
        <v>21</v>
      </c>
      <c r="B4" t="s">
        <v>22</v>
      </c>
      <c r="C4">
        <v>1.2</v>
      </c>
      <c r="D4" s="6" t="s">
        <v>23</v>
      </c>
    </row>
    <row r="5" spans="1:4">
      <c r="A5" t="s">
        <v>24</v>
      </c>
      <c r="B5" t="s">
        <v>25</v>
      </c>
      <c r="C5">
        <v>22</v>
      </c>
      <c r="D5" t="s">
        <v>26</v>
      </c>
    </row>
    <row r="6" spans="1:4">
      <c r="A6" t="s">
        <v>27</v>
      </c>
      <c r="B6" t="s">
        <v>28</v>
      </c>
      <c r="C6">
        <v>1.2250000000000001</v>
      </c>
      <c r="D6" s="6" t="s">
        <v>29</v>
      </c>
    </row>
    <row r="7" spans="1:4">
      <c r="A7" t="s">
        <v>30</v>
      </c>
      <c r="B7" t="s">
        <v>31</v>
      </c>
      <c r="C7">
        <v>2.5000000000000001E-2</v>
      </c>
      <c r="D7" t="s">
        <v>32</v>
      </c>
    </row>
    <row r="8" spans="1:4">
      <c r="A8" t="s">
        <v>33</v>
      </c>
      <c r="B8" t="s">
        <v>34</v>
      </c>
      <c r="C8">
        <v>0.8</v>
      </c>
      <c r="D8" t="s">
        <v>32</v>
      </c>
    </row>
    <row r="9" spans="1:4">
      <c r="A9" s="7" t="s">
        <v>35</v>
      </c>
      <c r="B9" t="s">
        <v>36</v>
      </c>
      <c r="C9">
        <v>0.95</v>
      </c>
      <c r="D9" t="s">
        <v>32</v>
      </c>
    </row>
    <row r="10" spans="1:4">
      <c r="A10" t="s">
        <v>37</v>
      </c>
      <c r="B10" t="s">
        <v>38</v>
      </c>
      <c r="C10">
        <v>0.95</v>
      </c>
      <c r="D10" t="s">
        <v>32</v>
      </c>
    </row>
    <row r="11" spans="1:4">
      <c r="A11" t="s">
        <v>39</v>
      </c>
      <c r="B11" t="s">
        <v>40</v>
      </c>
      <c r="C11">
        <v>0.8</v>
      </c>
      <c r="D11" t="s">
        <v>32</v>
      </c>
    </row>
    <row r="12" spans="1:4">
      <c r="A12" t="s">
        <v>41</v>
      </c>
      <c r="B12" t="s">
        <v>42</v>
      </c>
      <c r="C12">
        <v>1.5</v>
      </c>
      <c r="D12" t="s">
        <v>43</v>
      </c>
    </row>
    <row r="13" spans="1:4">
      <c r="A13" s="7" t="s">
        <v>44</v>
      </c>
      <c r="B13" s="7" t="s">
        <v>45</v>
      </c>
      <c r="C13">
        <v>0.8</v>
      </c>
      <c r="D13" t="s">
        <v>32</v>
      </c>
    </row>
    <row r="14" spans="1:4">
      <c r="A14" t="s">
        <v>46</v>
      </c>
      <c r="B14" t="s">
        <v>47</v>
      </c>
      <c r="C14">
        <v>1.2</v>
      </c>
      <c r="D14" t="s">
        <v>32</v>
      </c>
    </row>
    <row r="15" spans="1:4">
      <c r="A15" t="s">
        <v>48</v>
      </c>
      <c r="B15" t="s">
        <v>49</v>
      </c>
      <c r="C15">
        <v>48</v>
      </c>
      <c r="D15" t="s">
        <v>25</v>
      </c>
    </row>
    <row r="16" spans="1:4">
      <c r="A16" t="s">
        <v>50</v>
      </c>
      <c r="B16" t="s">
        <v>51</v>
      </c>
      <c r="C16">
        <v>0.08</v>
      </c>
      <c r="D16" t="s">
        <v>52</v>
      </c>
    </row>
    <row r="17" spans="1:4">
      <c r="A17" t="s">
        <v>53</v>
      </c>
      <c r="B17" t="s">
        <v>54</v>
      </c>
      <c r="C17">
        <v>25</v>
      </c>
      <c r="D17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2026-10-05T10:20:16Z</dcterms:created>
  <dcterms:modified xsi:type="dcterms:W3CDTF">2026-10-07T13:19:20Z</dcterms:modified>
  <cp:category/>
  <cp:contentStatus/>
</cp:coreProperties>
</file>